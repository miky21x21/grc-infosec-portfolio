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9fc36d48b87ae7/Documents/"/>
    </mc:Choice>
  </mc:AlternateContent>
  <xr:revisionPtr revIDLastSave="0" documentId="8_{05BC9171-B969-4737-84FB-4E2AF9308DF2}" xr6:coauthVersionLast="47" xr6:coauthVersionMax="47" xr10:uidLastSave="{00000000-0000-0000-0000-000000000000}"/>
  <bookViews>
    <workbookView xWindow="12576" yWindow="0" windowWidth="10560" windowHeight="12336" xr2:uid="{5187831B-89AE-4BDB-8190-A775F2593A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4" i="1"/>
  <c r="J3" i="1"/>
  <c r="J2" i="1"/>
</calcChain>
</file>

<file path=xl/sharedStrings.xml><?xml version="1.0" encoding="utf-8"?>
<sst xmlns="http://schemas.openxmlformats.org/spreadsheetml/2006/main" count="71" uniqueCount="59">
  <si>
    <t>Asset ID</t>
  </si>
  <si>
    <t>Asset Name &amp; Description</t>
  </si>
  <si>
    <t>Asset Category</t>
  </si>
  <si>
    <t>Asset Owner (Department)</t>
  </si>
  <si>
    <t>Data Classification</t>
  </si>
  <si>
    <t>Primary Security Control</t>
  </si>
  <si>
    <t>Business Impact Score (1-5)</t>
  </si>
  <si>
    <t>AST-HW-001</t>
  </si>
  <si>
    <t>AST-HW-002</t>
  </si>
  <si>
    <t>Corporate Laptops(MacBook/Dell)</t>
  </si>
  <si>
    <t>Hardware</t>
  </si>
  <si>
    <t>IT Operation</t>
  </si>
  <si>
    <t>Internal</t>
  </si>
  <si>
    <t>EDR Agent + BitLocker/FileVault</t>
  </si>
  <si>
    <t>AWS S3 Protection Data Bucket</t>
  </si>
  <si>
    <t>Cloud Service</t>
  </si>
  <si>
    <t>Cloud Infrastructure</t>
  </si>
  <si>
    <t>Restricted</t>
  </si>
  <si>
    <t>AWS KMS Encryption + Private Policy</t>
  </si>
  <si>
    <t>AST-DAT-001</t>
  </si>
  <si>
    <t>Customer PII &amp; Payment DB</t>
  </si>
  <si>
    <t>Data</t>
  </si>
  <si>
    <t>Finance &amp; Legal</t>
  </si>
  <si>
    <t>AES-256 Encryption at Rest + IAM</t>
  </si>
  <si>
    <t>Workday HR &amp; Payroll Portal</t>
  </si>
  <si>
    <t>Software</t>
  </si>
  <si>
    <t>Human Resource</t>
  </si>
  <si>
    <t>Confidential</t>
  </si>
  <si>
    <t>SAML 2.0 SSO + Enforced MFA</t>
  </si>
  <si>
    <t>AST-NET-001</t>
  </si>
  <si>
    <t>Office Firewall &amp; VPN Gateway</t>
  </si>
  <si>
    <t>Network</t>
  </si>
  <si>
    <t>Network Security</t>
  </si>
  <si>
    <t>AST-SFT-002</t>
  </si>
  <si>
    <t>Github Enterprise Source Code</t>
  </si>
  <si>
    <t xml:space="preserve">Engineering Lead </t>
  </si>
  <si>
    <t>Branch Protection + SSH Keys</t>
  </si>
  <si>
    <t>On-Premises Backup NAS Array</t>
  </si>
  <si>
    <t>Immutable Snapshots + Offline Sync</t>
  </si>
  <si>
    <t>Google Workspace (Email/Drive)</t>
  </si>
  <si>
    <t>Context Aware Access + Security Keys</t>
  </si>
  <si>
    <t>AST-DAT-002</t>
  </si>
  <si>
    <t>Public Marketing Website Code</t>
  </si>
  <si>
    <t>Marketing</t>
  </si>
  <si>
    <t>Public</t>
  </si>
  <si>
    <t>Cloudflare WAF + CDN Caching</t>
  </si>
  <si>
    <t>AST-HUM-001</t>
  </si>
  <si>
    <t>Executive Leadership Accounts</t>
  </si>
  <si>
    <t>Human</t>
  </si>
  <si>
    <t>CISO / Executive</t>
  </si>
  <si>
    <t>Hardware YubiKeys + VIP Monitoring</t>
  </si>
  <si>
    <t>Total  Assets Managed</t>
  </si>
  <si>
    <t>High-Criticality Assets (Score &gt;= 4)</t>
  </si>
  <si>
    <t>Restricted Data Assets</t>
  </si>
  <si>
    <t>Cloud Services Count</t>
  </si>
  <si>
    <t>AST-CLD-001</t>
  </si>
  <si>
    <t>AST-SFT-001</t>
  </si>
  <si>
    <t>AST-CLD-002</t>
  </si>
  <si>
    <t>IPS/IDS + Dual-factor Admin 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</si>
</sst>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0" fontId="0" fillId="0" borderId="0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9C0F3-CB3D-4CD2-AEA8-3A7603A3D9FE}">
  <dimension ref="A1:J16"/>
  <sheetViews>
    <sheetView tabSelected="1" topLeftCell="F1" workbookViewId="0">
      <selection activeCell="F3" sqref="F3"/>
    </sheetView>
  </sheetViews>
  <sheetFormatPr defaultRowHeight="14.4" x14ac:dyDescent="0.3"/>
  <cols>
    <col min="1" max="1" width="12.77734375" customWidth="1"/>
    <col min="2" max="2" width="30.44140625" customWidth="1"/>
    <col min="3" max="3" width="16.109375" customWidth="1"/>
    <col min="4" max="4" width="22.88671875" customWidth="1"/>
    <col min="5" max="5" width="16.109375" customWidth="1"/>
    <col min="6" max="6" width="23.6640625" customWidth="1"/>
    <col min="7" max="7" width="32.44140625" customWidth="1"/>
    <col min="9" max="9" width="28.21875" customWidth="1"/>
  </cols>
  <sheetData>
    <row r="1" spans="1:10" ht="34.200000000000003" customHeight="1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6</v>
      </c>
      <c r="G1" t="s">
        <v>5</v>
      </c>
    </row>
    <row r="2" spans="1:10" x14ac:dyDescent="0.3">
      <c r="I2" t="s">
        <v>51</v>
      </c>
      <c r="J2">
        <f>COUNTA(A7:A16)</f>
        <v>10</v>
      </c>
    </row>
    <row r="3" spans="1:10" x14ac:dyDescent="0.3">
      <c r="I3" t="s">
        <v>52</v>
      </c>
      <c r="J3">
        <f>COUNTIF(F7:F16, "&gt;=4")</f>
        <v>7</v>
      </c>
    </row>
    <row r="4" spans="1:10" x14ac:dyDescent="0.3">
      <c r="I4" t="s">
        <v>53</v>
      </c>
      <c r="J4">
        <f>COUNTIF(E7:E16, "Restricted")</f>
        <v>4</v>
      </c>
    </row>
    <row r="5" spans="1:10" x14ac:dyDescent="0.3">
      <c r="I5" t="s">
        <v>54</v>
      </c>
      <c r="J5">
        <f>COUNTIF(C7:C16, "Cloud Service")</f>
        <v>2</v>
      </c>
    </row>
    <row r="7" spans="1:10" ht="35.4" customHeight="1" x14ac:dyDescent="0.3">
      <c r="A7" t="s">
        <v>7</v>
      </c>
      <c r="B7" t="s">
        <v>9</v>
      </c>
      <c r="C7" t="s">
        <v>10</v>
      </c>
      <c r="D7" t="s">
        <v>11</v>
      </c>
      <c r="E7" t="s">
        <v>12</v>
      </c>
      <c r="F7" s="2">
        <v>3</v>
      </c>
      <c r="G7" s="2" t="s">
        <v>13</v>
      </c>
    </row>
    <row r="8" spans="1:10" x14ac:dyDescent="0.3">
      <c r="A8" t="s">
        <v>55</v>
      </c>
      <c r="B8" t="s">
        <v>14</v>
      </c>
      <c r="C8" t="s">
        <v>15</v>
      </c>
      <c r="D8" t="s">
        <v>16</v>
      </c>
      <c r="E8" t="s">
        <v>17</v>
      </c>
      <c r="F8" s="2">
        <v>5</v>
      </c>
      <c r="G8" s="2" t="s">
        <v>18</v>
      </c>
    </row>
    <row r="9" spans="1:10" x14ac:dyDescent="0.3">
      <c r="A9" t="s">
        <v>19</v>
      </c>
      <c r="B9" t="s">
        <v>20</v>
      </c>
      <c r="C9" t="s">
        <v>21</v>
      </c>
      <c r="D9" t="s">
        <v>22</v>
      </c>
      <c r="E9" t="s">
        <v>17</v>
      </c>
      <c r="F9" s="2">
        <v>5</v>
      </c>
      <c r="G9" s="2" t="s">
        <v>23</v>
      </c>
    </row>
    <row r="10" spans="1:10" x14ac:dyDescent="0.3">
      <c r="A10" t="s">
        <v>56</v>
      </c>
      <c r="B10" t="s">
        <v>24</v>
      </c>
      <c r="C10" t="s">
        <v>25</v>
      </c>
      <c r="D10" t="s">
        <v>26</v>
      </c>
      <c r="E10" t="s">
        <v>27</v>
      </c>
      <c r="F10" s="2">
        <v>4</v>
      </c>
      <c r="G10" s="2" t="s">
        <v>28</v>
      </c>
    </row>
    <row r="11" spans="1:10" x14ac:dyDescent="0.3">
      <c r="A11" t="s">
        <v>29</v>
      </c>
      <c r="B11" t="s">
        <v>30</v>
      </c>
      <c r="C11" t="s">
        <v>31</v>
      </c>
      <c r="D11" t="s">
        <v>32</v>
      </c>
      <c r="E11" t="s">
        <v>27</v>
      </c>
      <c r="F11" s="2">
        <v>4</v>
      </c>
      <c r="G11" s="2" t="s">
        <v>58</v>
      </c>
    </row>
    <row r="12" spans="1:10" x14ac:dyDescent="0.3">
      <c r="A12" t="s">
        <v>33</v>
      </c>
      <c r="B12" t="s">
        <v>34</v>
      </c>
      <c r="C12" t="s">
        <v>25</v>
      </c>
      <c r="D12" t="s">
        <v>35</v>
      </c>
      <c r="E12" t="s">
        <v>17</v>
      </c>
      <c r="F12" s="2">
        <v>5</v>
      </c>
      <c r="G12" s="2" t="s">
        <v>36</v>
      </c>
    </row>
    <row r="13" spans="1:10" x14ac:dyDescent="0.3">
      <c r="A13" t="s">
        <v>8</v>
      </c>
      <c r="B13" t="s">
        <v>37</v>
      </c>
      <c r="C13" t="s">
        <v>10</v>
      </c>
      <c r="D13" t="s">
        <v>11</v>
      </c>
      <c r="E13" t="s">
        <v>27</v>
      </c>
      <c r="F13" s="2">
        <v>4</v>
      </c>
      <c r="G13" s="2" t="s">
        <v>38</v>
      </c>
    </row>
    <row r="14" spans="1:10" x14ac:dyDescent="0.3">
      <c r="A14" t="s">
        <v>57</v>
      </c>
      <c r="B14" t="s">
        <v>39</v>
      </c>
      <c r="C14" t="s">
        <v>15</v>
      </c>
      <c r="D14" t="s">
        <v>11</v>
      </c>
      <c r="E14" t="s">
        <v>12</v>
      </c>
      <c r="F14" s="2">
        <v>3</v>
      </c>
      <c r="G14" s="2" t="s">
        <v>40</v>
      </c>
    </row>
    <row r="15" spans="1:10" x14ac:dyDescent="0.3">
      <c r="A15" t="s">
        <v>41</v>
      </c>
      <c r="B15" t="s">
        <v>42</v>
      </c>
      <c r="C15" t="s">
        <v>21</v>
      </c>
      <c r="D15" t="s">
        <v>43</v>
      </c>
      <c r="E15" t="s">
        <v>44</v>
      </c>
      <c r="F15" s="2">
        <v>1</v>
      </c>
      <c r="G15" s="2" t="s">
        <v>45</v>
      </c>
    </row>
    <row r="16" spans="1:10" x14ac:dyDescent="0.3">
      <c r="A16" t="s">
        <v>46</v>
      </c>
      <c r="B16" t="s">
        <v>47</v>
      </c>
      <c r="C16" t="s">
        <v>48</v>
      </c>
      <c r="D16" t="s">
        <v>49</v>
      </c>
      <c r="E16" t="s">
        <v>17</v>
      </c>
      <c r="F16" s="3">
        <v>4</v>
      </c>
      <c r="G16" s="2" t="s">
        <v>50</v>
      </c>
    </row>
  </sheetData>
  <phoneticPr fontId="1" type="noConversion"/>
  <conditionalFormatting sqref="F7:G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sqref="C7:C16" xr:uid="{16E67742-F2C2-401E-A1BD-8E175873B293}">
      <formula1>"Hardware, Software, Data, Cloud Service, Network, Human"</formula1>
    </dataValidation>
    <dataValidation type="list" allowBlank="1" showInputMessage="1" showErrorMessage="1" sqref="E7:E16" xr:uid="{58DD79F2-2430-4505-948B-17EEE9A01010}">
      <formula1>"Public, Internal, Confidential, Restricted"</formula1>
    </dataValidation>
    <dataValidation type="whole" allowBlank="1" showInputMessage="1" showErrorMessage="1" sqref="F7:F16" xr:uid="{064A7212-9405-4E12-968C-206399F62259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chatterjee</dc:creator>
  <cp:lastModifiedBy>mitchell chatterjee</cp:lastModifiedBy>
  <dcterms:created xsi:type="dcterms:W3CDTF">2026-07-29T07:08:24Z</dcterms:created>
  <dcterms:modified xsi:type="dcterms:W3CDTF">2026-07-29T08:47:45Z</dcterms:modified>
</cp:coreProperties>
</file>